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P\Documents\"/>
    </mc:Choice>
  </mc:AlternateContent>
  <xr:revisionPtr revIDLastSave="0" documentId="8_{9AF68E7B-023E-498B-9D72-2C9AF9EEDCB0}" xr6:coauthVersionLast="47" xr6:coauthVersionMax="47" xr10:uidLastSave="{00000000-0000-0000-0000-000000000000}"/>
  <bookViews>
    <workbookView xWindow="-120" yWindow="-120" windowWidth="20730" windowHeight="11040" activeTab="1" xr2:uid="{6E7EADE4-FECD-452D-A6A7-A31C7678AF73}"/>
  </bookViews>
  <sheets>
    <sheet name="Scenerio" sheetId="1" r:id="rId1"/>
    <sheet name="Raw Data" sheetId="2" r:id="rId2"/>
    <sheet name="Pivot Tables" sheetId="3" r:id="rId3"/>
    <sheet name="Charts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1" i="2" l="1"/>
  <c r="E101" i="2"/>
  <c r="D104" i="2"/>
  <c r="D105" i="2" s="1"/>
  <c r="D106" i="2" s="1"/>
</calcChain>
</file>

<file path=xl/sharedStrings.xml><?xml version="1.0" encoding="utf-8"?>
<sst xmlns="http://schemas.openxmlformats.org/spreadsheetml/2006/main" count="337" uniqueCount="69">
  <si>
    <t>Scenerio</t>
  </si>
  <si>
    <t>RM&amp;Co Retail</t>
  </si>
  <si>
    <t>Sells electronics</t>
  </si>
  <si>
    <t>Date</t>
  </si>
  <si>
    <t>Region</t>
  </si>
  <si>
    <t>Product</t>
  </si>
  <si>
    <t>Revenue</t>
  </si>
  <si>
    <t>Expenses</t>
  </si>
  <si>
    <t>Gauteng</t>
  </si>
  <si>
    <t>Western Cape</t>
  </si>
  <si>
    <t>Eastern Cape</t>
  </si>
  <si>
    <t>Phone</t>
  </si>
  <si>
    <t>Laptop</t>
  </si>
  <si>
    <t>Tablet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</si>
  <si>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</si>
  <si>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</si>
  <si>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</si>
  <si>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</si>
  <si>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</si>
  <si>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</si>
  <si>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</si>
  <si>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</si>
  <si>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</si>
  <si>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</si>
  <si>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</si>
  <si>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</si>
  <si>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</si>
  <si>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</si>
  <si>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</si>
  <si>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16/12/2026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</si>
  <si>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</si>
  <si>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</si>
  <si>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</si>
  <si>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</si>
  <si>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</si>
  <si>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</si>
  <si>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</si>
  <si>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</si>
  <si>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</si>
  <si>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</si>
  <si>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</si>
  <si>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</si>
  <si>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</si>
  <si>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</si>
  <si>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</si>
  <si>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Profit</t>
  </si>
  <si>
    <t>Total</t>
  </si>
  <si>
    <t>Margin Profit</t>
  </si>
  <si>
    <t>Average Profit Margin</t>
  </si>
  <si>
    <t>Table of Revenue by Region</t>
  </si>
  <si>
    <t>Row Labels</t>
  </si>
  <si>
    <t>Grand Total</t>
  </si>
  <si>
    <t>Sum of Revenue</t>
  </si>
  <si>
    <t>Table of Revenue by Product</t>
  </si>
  <si>
    <t>Questions:</t>
  </si>
  <si>
    <t>1. Which region generates the most revenue?</t>
  </si>
  <si>
    <t>2. Which region underperforms?</t>
  </si>
  <si>
    <t>1.Which product sells the best?</t>
  </si>
  <si>
    <t>2.Which products should receive more investment?</t>
  </si>
  <si>
    <t>Laptops and phones</t>
  </si>
  <si>
    <t>Data extracted from RM&amp;Co as of December 2025</t>
  </si>
  <si>
    <t xml:space="preserve"> I have been hired by this company to check its financial perfomance</t>
  </si>
  <si>
    <t>Oparates in three different regions namely: Gauteng, Eastern Cape and Western Cape</t>
  </si>
  <si>
    <t>Pie Chart of Revenue by Product</t>
  </si>
  <si>
    <t>Pie Chart of Revenue by Region</t>
  </si>
  <si>
    <t>Bar Graph of Revenue by Region</t>
  </si>
  <si>
    <t>Line Graph of Revenue by Region</t>
  </si>
  <si>
    <t>Line Graph of Revenue by Product</t>
  </si>
  <si>
    <t>Bar Graph of Revenue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</si>
</sst>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0" formatCode="&quot;R&quot;#,##0;[Red]\-&quot;R&quot;#,##0"/>
    </dxf>
    <dxf>
      <numFmt numFmtId="10" formatCode="&quot;R&quot;#,##0;[Red]\-&quot;R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Project-Beginner.xlsx]Pivot Tables!PivotTable1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Tables'!$B$3:$B$6</c:f>
              <c:strCache>
                <c:ptCount val="3"/>
                <c:pt idx="0">
                  <c:v>Eastern Cape</c:v>
                </c:pt>
                <c:pt idx="1">
                  <c:v>Gauteng</c:v>
                </c:pt>
                <c:pt idx="2">
                  <c:v>Western Cape</c:v>
                </c:pt>
              </c:strCache>
            </c:strRef>
          </c:cat>
          <c:val>
            <c:numRef>
              <c:f>'Pivot Tables'!$C$3:$C$6</c:f>
              <c:numCache>
                <c:formatCode>"R"#,##0_);[Red]\("R"#,##0\)</c:formatCode>
                <c:ptCount val="3"/>
                <c:pt idx="0">
                  <c:v>477000</c:v>
                </c:pt>
                <c:pt idx="1">
                  <c:v>459000</c:v>
                </c:pt>
                <c:pt idx="2">
                  <c:v>595000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5-48DE-8AAB-4A4590B6D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672815"/>
        <c:axId val="1193680495"/>
      </c:lineChart>
      <c:catAx>
        <c:axId val="119367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80495"/>
        <c:crosses val="autoZero"/>
        <c:auto val="1"/>
        <c:lblAlgn val="ctr"/>
        <c:lblOffset val="100"/>
        <c:noMultiLvlLbl val="0"/>
      </c:catAx>
      <c:valAx>
        <c:axId val="119368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_);[Red]\(&quot;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7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Project-Beginner.xlsx]Pivot Tables!PivotTable1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Tables'!$B$3:$B$6</c:f>
              <c:strCache>
                <c:ptCount val="3"/>
                <c:pt idx="0">
                  <c:v>Eastern Cape</c:v>
                </c:pt>
                <c:pt idx="1">
                  <c:v>Gauteng</c:v>
                </c:pt>
                <c:pt idx="2">
                  <c:v>Western Cape</c:v>
                </c:pt>
              </c:strCache>
            </c:strRef>
          </c:cat>
          <c:val>
            <c:numRef>
              <c:f>'Pivot Tables'!$C$3:$C$6</c:f>
              <c:numCache>
                <c:formatCode>"R"#,##0_);[Red]\("R"#,##0\)</c:formatCode>
                <c:ptCount val="3"/>
                <c:pt idx="0">
                  <c:v>477000</c:v>
                </c:pt>
                <c:pt idx="1">
                  <c:v>459000</c:v>
                </c:pt>
                <c:pt idx="2">
                  <c:v>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A-453D-98B4-2B9CFCDC0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323471"/>
        <c:axId val="1212317231"/>
      </c:barChart>
      <c:catAx>
        <c:axId val="121232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317231"/>
        <c:crosses val="autoZero"/>
        <c:auto val="1"/>
        <c:lblAlgn val="ctr"/>
        <c:lblOffset val="100"/>
        <c:noMultiLvlLbl val="0"/>
      </c:catAx>
      <c:valAx>
        <c:axId val="121231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_);[Red]\(&quot;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32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Project-Beginner.xlsx]Pivot Tables!PivotTable1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Tables'!$C$2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16-48E6-BBAF-E27E4D7CDE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16-48E6-BBAF-E27E4D7CDE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16-48E6-BBAF-E27E4D7CDE66}"/>
              </c:ext>
            </c:extLst>
          </c:dPt>
          <c:cat>
            <c:strRef>
              <c:f>'Pivot Tables'!$B$3:$B$6</c:f>
              <c:strCache>
                <c:ptCount val="3"/>
                <c:pt idx="0">
                  <c:v>Eastern Cape</c:v>
                </c:pt>
                <c:pt idx="1">
                  <c:v>Gauteng</c:v>
                </c:pt>
                <c:pt idx="2">
                  <c:v>Western Cape</c:v>
                </c:pt>
              </c:strCache>
            </c:strRef>
          </c:cat>
          <c:val>
            <c:numRef>
              <c:f>'Pivot Tables'!$C$3:$C$6</c:f>
              <c:numCache>
                <c:formatCode>"R"#,##0_);[Red]\("R"#,##0\)</c:formatCode>
                <c:ptCount val="3"/>
                <c:pt idx="0">
                  <c:v>477000</c:v>
                </c:pt>
                <c:pt idx="1">
                  <c:v>459000</c:v>
                </c:pt>
                <c:pt idx="2">
                  <c:v>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16-48E6-BBAF-E27E4D7CD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[Financial Dashboard Project-Beginner.xlsx]Pivot Tables!PivotTable4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Tables'!$H$4:$H$7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'Pivot Tables'!$I$4:$I$7</c:f>
              <c:numCache>
                <c:formatCode>"R"#,##0_);[Red]\("R"#,##0\)</c:formatCode>
                <c:ptCount val="3"/>
                <c:pt idx="0">
                  <c:v>700000</c:v>
                </c:pt>
                <c:pt idx="1">
                  <c:v>396000</c:v>
                </c:pt>
                <c:pt idx="2">
                  <c:v>435000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0-44F1-A93F-F2FAAECC7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768143"/>
        <c:axId val="1186768623"/>
      </c:lineChart>
      <c:catAx>
        <c:axId val="118676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68623"/>
        <c:crosses val="autoZero"/>
        <c:auto val="1"/>
        <c:lblAlgn val="ctr"/>
        <c:lblOffset val="100"/>
        <c:noMultiLvlLbl val="0"/>
      </c:catAx>
      <c:valAx>
        <c:axId val="118676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_);[Red]\(&quot;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6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[Financial Dashboard Project-Beginner.xlsx]Pivot Tables!PivotTable4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Tables'!$H$4:$H$7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'Pivot Tables'!$I$4:$I$7</c:f>
              <c:numCache>
                <c:formatCode>"R"#,##0_);[Red]\("R"#,##0\)</c:formatCode>
                <c:ptCount val="3"/>
                <c:pt idx="0">
                  <c:v>700000</c:v>
                </c:pt>
                <c:pt idx="1">
                  <c:v>396000</c:v>
                </c:pt>
                <c:pt idx="2">
                  <c:v>435000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A-48AF-8397-F9B836A58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774863"/>
        <c:axId val="1186759023"/>
      </c:barChart>
      <c:catAx>
        <c:axId val="118677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59023"/>
        <c:crosses val="autoZero"/>
        <c:auto val="1"/>
        <c:lblAlgn val="ctr"/>
        <c:lblOffset val="100"/>
        <c:noMultiLvlLbl val="0"/>
      </c:catAx>
      <c:valAx>
        <c:axId val="118675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_);[Red]\(&quot;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7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Dashboard Project-Beginner.xlsx]Pivot Tables!PivotTable4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63-4D52-A598-F745E7FD9BE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E63-4D52-A598-F745E7FD9BE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E63-4D52-A598-F745E7FD9BE4}"/>
              </c:ext>
            </c:extLst>
          </c:dPt>
          <c:cat>
            <c:strRef>
              <c:f>'Pivot Tables'!$H$4:$H$7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'Pivot Tables'!$I$4:$I$7</c:f>
              <c:numCache>
                <c:formatCode>"R"#,##0_);[Red]\("R"#,##0\)</c:formatCode>
                <c:ptCount val="3"/>
                <c:pt idx="0">
                  <c:v>700000</c:v>
                </c:pt>
                <c:pt idx="1">
                  <c:v>396000</c:v>
                </c:pt>
                <c:pt idx="2">
                  <c:v>435000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63-4D52-A598-F745E7FD9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14287</xdr:rowOff>
    </xdr:from>
    <xdr:to>
      <xdr:col>7</xdr:col>
      <xdr:colOff>9525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4B6BC5-9EE2-B0F2-7465-0A92BCA95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20</xdr:row>
      <xdr:rowOff>0</xdr:rowOff>
    </xdr:from>
    <xdr:to>
      <xdr:col>6</xdr:col>
      <xdr:colOff>600075</xdr:colOff>
      <xdr:row>34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1A017-59F5-07FA-3736-0AD039729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19049</xdr:colOff>
      <xdr:row>37</xdr:row>
      <xdr:rowOff>180974</xdr:rowOff>
    </xdr:from>
    <xdr:to>
      <xdr:col>6</xdr:col>
      <xdr:colOff>600074</xdr:colOff>
      <xdr:row>53</xdr:row>
      <xdr:rowOff>23811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D2D091-9683-EB46-35B5-81C2099FC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9524</xdr:colOff>
      <xdr:row>2</xdr:row>
      <xdr:rowOff>19050</xdr:rowOff>
    </xdr:from>
    <xdr:to>
      <xdr:col>15</xdr:col>
      <xdr:colOff>19049</xdr:colOff>
      <xdr:row>16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6A518E-2317-9F67-0404-B4E6FE0C2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600075</xdr:colOff>
      <xdr:row>19</xdr:row>
      <xdr:rowOff>152401</xdr:rowOff>
    </xdr:from>
    <xdr:to>
      <xdr:col>15</xdr:col>
      <xdr:colOff>9525</xdr:colOff>
      <xdr:row>35</xdr:row>
      <xdr:rowOff>23813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A78A0E-CC81-647E-7706-5DD45D65B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28575</xdr:colOff>
      <xdr:row>38</xdr:row>
      <xdr:rowOff>9525</xdr:rowOff>
    </xdr:from>
    <xdr:to>
      <xdr:col>14</xdr:col>
      <xdr:colOff>600075</xdr:colOff>
      <xdr:row>53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6B155E-B50C-B8B6-337D-E36E162C5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TOKOZO" refreshedDate="46190.791826504632" createdVersion="8" refreshedVersion="8" minRefreshableVersion="3" recordCount="97" xr:uid="{447435D4-BBB9-4F82-936F-DC74633062DA}">
  <cacheSource type="worksheet">
    <worksheetSource name="Table1"/>
  </cacheSource>
  <cacheFields count="5">
    <cacheField name="Date" numFmtId="0">
      <sharedItems count="31">
        <s v="01/12/2025"/>
        <s v="02/12/2025"/>
        <s v="03/12/2025"/>
        <s v="04/12/2025"/>
        <s v="05/12/2025"/>
        <s v="06/12/2025"/>
        <s v="07/12/2025"/>
        <s v="08/12/2025"/>
        <s v="09/12/2025"/>
        <s v="10/12/2025"/>
        <s v="11/12/2025"/>
        <s v="12/12/2025"/>
        <s v="13/12/2025"/>
        <s v="14/12/2025"/>
        <s v="15/12/2025"/>
        <s v="16/12/2025"/>
        <s v="16/12/2026"/>
        <s v="17/12/2025"/>
        <s v="18/12/2025"/>
        <s v="19/12/2025"/>
        <s v="20/12/2025"/>
        <s v="21/12/2025"/>
        <s v="22/12/2025"/>
        <s v="23/12/2025"/>
        <s v="24/12/2025"/>
        <s v="25/12/2025"/>
        <s v="26/12/2025"/>
        <s v="27/12/2025"/>
        <s v="28/12/2025"/>
        <s v="29/12/2025"/>
        <s v="30/12/2025"/>
      </sharedItems>
    </cacheField>
    <cacheField name="Region" numFmtId="0">
      <sharedItems count="4">
        <s v="Gauteng"/>
        <s v="Western Cape"/>
        <s v="Eastern Cape"/>
        <s v="Gauteng " u="1"/>
      </sharedItems>
    </cacheField>
    <cacheField name="Product" numFmtId="0">
      <sharedItems count="3">
        <s v="Phone"/>
        <s v="Laptop"/>
        <s v="Tablet"/>
      </sharedItems>
    </cacheField>
    <cacheField name="Revenue" numFmtId="6">
      <sharedItems containsSemiMixedTypes="0" containsString="0" containsNumber="1" containsInteger="1" minValue="12000" maxValue="20000"/>
    </cacheField>
    <cacheField name="Expenses" numFmtId="0">
      <sharedItems containsSemiMixedTypes="0" containsString="0" containsNumber="1" containsInteger="1" minValue="0" maxValue="480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x v="0"/>
    <x v="0"/>
    <n v="12000"/>
    <n v="5000"/>
  </r>
  <r>
    <x v="0"/>
    <x v="1"/>
    <x v="0"/>
    <n v="12000"/>
    <n v="2000"/>
  </r>
  <r>
    <x v="1"/>
    <x v="0"/>
    <x v="1"/>
    <n v="20000"/>
    <n v="60"/>
  </r>
  <r>
    <x v="2"/>
    <x v="0"/>
    <x v="0"/>
    <n v="12000"/>
    <n v="10000"/>
  </r>
  <r>
    <x v="2"/>
    <x v="1"/>
    <x v="1"/>
    <n v="20000"/>
    <n v="1500"/>
  </r>
  <r>
    <x v="2"/>
    <x v="2"/>
    <x v="1"/>
    <n v="20000"/>
    <n v="45"/>
  </r>
  <r>
    <x v="2"/>
    <x v="0"/>
    <x v="1"/>
    <n v="20000"/>
    <n v="0"/>
  </r>
  <r>
    <x v="3"/>
    <x v="0"/>
    <x v="1"/>
    <n v="20000"/>
    <n v="250"/>
  </r>
  <r>
    <x v="4"/>
    <x v="1"/>
    <x v="1"/>
    <n v="20000"/>
    <n v="25000"/>
  </r>
  <r>
    <x v="4"/>
    <x v="2"/>
    <x v="2"/>
    <n v="15000"/>
    <n v="2000"/>
  </r>
  <r>
    <x v="5"/>
    <x v="0"/>
    <x v="2"/>
    <n v="15000"/>
    <n v="375"/>
  </r>
  <r>
    <x v="6"/>
    <x v="2"/>
    <x v="0"/>
    <n v="12000"/>
    <n v="1100"/>
  </r>
  <r>
    <x v="7"/>
    <x v="2"/>
    <x v="2"/>
    <n v="15000"/>
    <n v="1100"/>
  </r>
  <r>
    <x v="7"/>
    <x v="1"/>
    <x v="1"/>
    <n v="20000"/>
    <n v="1100"/>
  </r>
  <r>
    <x v="7"/>
    <x v="0"/>
    <x v="2"/>
    <n v="15000"/>
    <n v="1100"/>
  </r>
  <r>
    <x v="7"/>
    <x v="1"/>
    <x v="2"/>
    <n v="15000"/>
    <n v="1100"/>
  </r>
  <r>
    <x v="8"/>
    <x v="0"/>
    <x v="2"/>
    <n v="15000"/>
    <n v="1100"/>
  </r>
  <r>
    <x v="9"/>
    <x v="2"/>
    <x v="2"/>
    <n v="15000"/>
    <n v="9000"/>
  </r>
  <r>
    <x v="10"/>
    <x v="1"/>
    <x v="2"/>
    <n v="15000"/>
    <n v="15000"/>
  </r>
  <r>
    <x v="11"/>
    <x v="2"/>
    <x v="2"/>
    <n v="15000"/>
    <n v="295"/>
  </r>
  <r>
    <x v="12"/>
    <x v="1"/>
    <x v="2"/>
    <n v="15000"/>
    <n v="700"/>
  </r>
  <r>
    <x v="13"/>
    <x v="1"/>
    <x v="0"/>
    <n v="12000"/>
    <n v="9900"/>
  </r>
  <r>
    <x v="14"/>
    <x v="0"/>
    <x v="1"/>
    <n v="20000"/>
    <n v="22000"/>
  </r>
  <r>
    <x v="14"/>
    <x v="2"/>
    <x v="1"/>
    <n v="20000"/>
    <n v="46"/>
  </r>
  <r>
    <x v="14"/>
    <x v="2"/>
    <x v="0"/>
    <n v="12000"/>
    <n v="0"/>
  </r>
  <r>
    <x v="14"/>
    <x v="2"/>
    <x v="2"/>
    <n v="15000"/>
    <n v="0"/>
  </r>
  <r>
    <x v="14"/>
    <x v="2"/>
    <x v="0"/>
    <n v="12000"/>
    <n v="0"/>
  </r>
  <r>
    <x v="14"/>
    <x v="2"/>
    <x v="1"/>
    <n v="20000"/>
    <n v="6530"/>
  </r>
  <r>
    <x v="14"/>
    <x v="2"/>
    <x v="2"/>
    <n v="15000"/>
    <n v="3206"/>
  </r>
  <r>
    <x v="14"/>
    <x v="2"/>
    <x v="0"/>
    <n v="12000"/>
    <n v="0"/>
  </r>
  <r>
    <x v="14"/>
    <x v="2"/>
    <x v="0"/>
    <n v="12000"/>
    <n v="63"/>
  </r>
  <r>
    <x v="14"/>
    <x v="2"/>
    <x v="1"/>
    <n v="20000"/>
    <n v="0"/>
  </r>
  <r>
    <x v="14"/>
    <x v="2"/>
    <x v="2"/>
    <n v="15000"/>
    <n v="250"/>
  </r>
  <r>
    <x v="14"/>
    <x v="2"/>
    <x v="1"/>
    <n v="20000"/>
    <n v="13000"/>
  </r>
  <r>
    <x v="14"/>
    <x v="2"/>
    <x v="2"/>
    <n v="15000"/>
    <n v="6540"/>
  </r>
  <r>
    <x v="14"/>
    <x v="2"/>
    <x v="0"/>
    <n v="12000"/>
    <n v="2000"/>
  </r>
  <r>
    <x v="14"/>
    <x v="0"/>
    <x v="0"/>
    <n v="12000"/>
    <n v="150"/>
  </r>
  <r>
    <x v="14"/>
    <x v="0"/>
    <x v="0"/>
    <n v="12000"/>
    <n v="5000"/>
  </r>
  <r>
    <x v="14"/>
    <x v="1"/>
    <x v="0"/>
    <n v="12000"/>
    <n v="11200"/>
  </r>
  <r>
    <x v="14"/>
    <x v="0"/>
    <x v="0"/>
    <n v="12000"/>
    <n v="200"/>
  </r>
  <r>
    <x v="15"/>
    <x v="2"/>
    <x v="0"/>
    <n v="12000"/>
    <n v="0"/>
  </r>
  <r>
    <x v="16"/>
    <x v="1"/>
    <x v="0"/>
    <n v="12000"/>
    <n v="90"/>
  </r>
  <r>
    <x v="17"/>
    <x v="0"/>
    <x v="0"/>
    <n v="12000"/>
    <n v="399"/>
  </r>
  <r>
    <x v="17"/>
    <x v="0"/>
    <x v="0"/>
    <n v="12000"/>
    <n v="12000"/>
  </r>
  <r>
    <x v="17"/>
    <x v="0"/>
    <x v="0"/>
    <n v="12000"/>
    <n v="55"/>
  </r>
  <r>
    <x v="17"/>
    <x v="0"/>
    <x v="1"/>
    <n v="20000"/>
    <n v="100"/>
  </r>
  <r>
    <x v="18"/>
    <x v="0"/>
    <x v="2"/>
    <n v="15000"/>
    <n v="17540"/>
  </r>
  <r>
    <x v="19"/>
    <x v="0"/>
    <x v="0"/>
    <n v="12000"/>
    <n v="200"/>
  </r>
  <r>
    <x v="20"/>
    <x v="0"/>
    <x v="2"/>
    <n v="15000"/>
    <n v="3700"/>
  </r>
  <r>
    <x v="21"/>
    <x v="1"/>
    <x v="1"/>
    <n v="20000"/>
    <n v="45000"/>
  </r>
  <r>
    <x v="21"/>
    <x v="1"/>
    <x v="1"/>
    <n v="20000"/>
    <n v="740"/>
  </r>
  <r>
    <x v="21"/>
    <x v="1"/>
    <x v="2"/>
    <n v="15000"/>
    <n v="0"/>
  </r>
  <r>
    <x v="21"/>
    <x v="1"/>
    <x v="0"/>
    <n v="12000"/>
    <n v="22050"/>
  </r>
  <r>
    <x v="22"/>
    <x v="1"/>
    <x v="2"/>
    <n v="15000"/>
    <n v="1401"/>
  </r>
  <r>
    <x v="22"/>
    <x v="1"/>
    <x v="2"/>
    <n v="15000"/>
    <n v="600"/>
  </r>
  <r>
    <x v="22"/>
    <x v="1"/>
    <x v="0"/>
    <n v="12000"/>
    <n v="1050"/>
  </r>
  <r>
    <x v="23"/>
    <x v="1"/>
    <x v="1"/>
    <n v="20000"/>
    <n v="100"/>
  </r>
  <r>
    <x v="24"/>
    <x v="1"/>
    <x v="0"/>
    <n v="12000"/>
    <n v="12500"/>
  </r>
  <r>
    <x v="24"/>
    <x v="1"/>
    <x v="1"/>
    <n v="20000"/>
    <n v="650"/>
  </r>
  <r>
    <x v="24"/>
    <x v="1"/>
    <x v="1"/>
    <n v="20000"/>
    <n v="60"/>
  </r>
  <r>
    <x v="24"/>
    <x v="1"/>
    <x v="2"/>
    <n v="15000"/>
    <n v="10000"/>
  </r>
  <r>
    <x v="24"/>
    <x v="1"/>
    <x v="0"/>
    <n v="12000"/>
    <n v="1234"/>
  </r>
  <r>
    <x v="24"/>
    <x v="1"/>
    <x v="2"/>
    <n v="15000"/>
    <n v="400"/>
  </r>
  <r>
    <x v="24"/>
    <x v="1"/>
    <x v="1"/>
    <n v="20000"/>
    <n v="73"/>
  </r>
  <r>
    <x v="25"/>
    <x v="1"/>
    <x v="1"/>
    <n v="20000"/>
    <n v="31000"/>
  </r>
  <r>
    <x v="25"/>
    <x v="1"/>
    <x v="1"/>
    <n v="20000"/>
    <n v="4300"/>
  </r>
  <r>
    <x v="25"/>
    <x v="0"/>
    <x v="1"/>
    <n v="20000"/>
    <n v="67"/>
  </r>
  <r>
    <x v="25"/>
    <x v="2"/>
    <x v="1"/>
    <n v="20000"/>
    <n v="960"/>
  </r>
  <r>
    <x v="25"/>
    <x v="1"/>
    <x v="1"/>
    <n v="20000"/>
    <n v="5600"/>
  </r>
  <r>
    <x v="25"/>
    <x v="2"/>
    <x v="1"/>
    <n v="20000"/>
    <n v="429"/>
  </r>
  <r>
    <x v="25"/>
    <x v="0"/>
    <x v="1"/>
    <n v="20000"/>
    <n v="5100"/>
  </r>
  <r>
    <x v="25"/>
    <x v="0"/>
    <x v="1"/>
    <n v="20000"/>
    <n v="35000"/>
  </r>
  <r>
    <x v="25"/>
    <x v="0"/>
    <x v="2"/>
    <n v="15000"/>
    <n v="90"/>
  </r>
  <r>
    <x v="25"/>
    <x v="0"/>
    <x v="0"/>
    <n v="12000"/>
    <n v="6450"/>
  </r>
  <r>
    <x v="25"/>
    <x v="2"/>
    <x v="0"/>
    <n v="12000"/>
    <n v="10000"/>
  </r>
  <r>
    <x v="25"/>
    <x v="1"/>
    <x v="0"/>
    <n v="12000"/>
    <n v="370"/>
  </r>
  <r>
    <x v="25"/>
    <x v="2"/>
    <x v="0"/>
    <n v="12000"/>
    <n v="7435"/>
  </r>
  <r>
    <x v="25"/>
    <x v="2"/>
    <x v="0"/>
    <n v="12000"/>
    <n v="509"/>
  </r>
  <r>
    <x v="25"/>
    <x v="2"/>
    <x v="0"/>
    <n v="12000"/>
    <n v="6900"/>
  </r>
  <r>
    <x v="25"/>
    <x v="2"/>
    <x v="1"/>
    <n v="20000"/>
    <n v="8200"/>
  </r>
  <r>
    <x v="25"/>
    <x v="2"/>
    <x v="2"/>
    <n v="15000"/>
    <n v="408"/>
  </r>
  <r>
    <x v="25"/>
    <x v="2"/>
    <x v="2"/>
    <n v="15000"/>
    <n v="2450"/>
  </r>
  <r>
    <x v="25"/>
    <x v="2"/>
    <x v="1"/>
    <n v="20000"/>
    <n v="5600"/>
  </r>
  <r>
    <x v="25"/>
    <x v="1"/>
    <x v="1"/>
    <n v="20000"/>
    <n v="430"/>
  </r>
  <r>
    <x v="26"/>
    <x v="0"/>
    <x v="0"/>
    <n v="12000"/>
    <n v="9876"/>
  </r>
  <r>
    <x v="26"/>
    <x v="1"/>
    <x v="1"/>
    <n v="20000"/>
    <n v="548"/>
  </r>
  <r>
    <x v="27"/>
    <x v="0"/>
    <x v="2"/>
    <n v="15000"/>
    <n v="2900"/>
  </r>
  <r>
    <x v="28"/>
    <x v="0"/>
    <x v="2"/>
    <n v="15000"/>
    <n v="33908"/>
  </r>
  <r>
    <x v="28"/>
    <x v="0"/>
    <x v="0"/>
    <n v="12000"/>
    <n v="58"/>
  </r>
  <r>
    <x v="29"/>
    <x v="0"/>
    <x v="1"/>
    <n v="20000"/>
    <n v="765"/>
  </r>
  <r>
    <x v="30"/>
    <x v="1"/>
    <x v="2"/>
    <n v="15000"/>
    <n v="1090"/>
  </r>
  <r>
    <x v="30"/>
    <x v="1"/>
    <x v="1"/>
    <n v="20000"/>
    <n v="17643"/>
  </r>
  <r>
    <x v="30"/>
    <x v="1"/>
    <x v="1"/>
    <n v="20000"/>
    <n v="48098"/>
  </r>
  <r>
    <x v="30"/>
    <x v="1"/>
    <x v="0"/>
    <n v="12000"/>
    <n v="3040"/>
  </r>
  <r>
    <x v="30"/>
    <x v="1"/>
    <x v="1"/>
    <n v="20000"/>
    <n v="6540"/>
  </r>
  <r>
    <x v="30"/>
    <x v="2"/>
    <x v="2"/>
    <n v="15000"/>
    <n v="14670"/>
  </r>
  <r>
    <x v="30"/>
    <x v="0"/>
    <x v="2"/>
    <n v="15000"/>
    <n v="7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30516-25EB-467A-825E-6971331DADE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H3:I7" firstHeaderRow="1" firstDataRow="1" firstDataCol="1"/>
  <pivotFields count="5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numFmtId="6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3" baseField="0" baseItem="0" numFmtId="6"/>
  </dataFields>
  <chartFormats count="6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C432C-B811-4084-8632-6AA6F64732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B2:C6" firstHeaderRow="1" firstDataRow="1" firstDataCol="1"/>
  <pivotFields count="5">
    <pivotField showAll="0"/>
    <pivotField axis="axisRow" showAll="0">
      <items count="5">
        <item x="2"/>
        <item x="0"/>
        <item m="1" x="3"/>
        <item x="1"/>
        <item t="default"/>
      </items>
    </pivotField>
    <pivotField showAll="0"/>
    <pivotField dataField="1" numFmtId="6" showAll="0"/>
    <pivotField showAll="0"/>
  </pivotFields>
  <rowFields count="1">
    <field x="1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Sum of Revenue" fld="3" baseField="0" baseItem="0" numFmtId="6"/>
  </dataFields>
  <chartFormats count="6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C22F9-1DB8-4F13-B370-A6B371B5009A}" name="Table1" displayName="Table1" ref="A3:E101" totalsRowCount="1">
  <autoFilter ref="A3:E100" xr:uid="{D88C22F9-1DB8-4F13-B370-A6B371B5009A}"/>
  <sortState xmlns:xlrd2="http://schemas.microsoft.com/office/spreadsheetml/2017/richdata2" ref="A4:E100">
    <sortCondition ref="A3:A100"/>
  </sortState>
  <tableColumns count="5">
    <tableColumn id="1" xr3:uid="{F2C0DED8-A9C9-4BE3-8901-E97873887E8F}" name="Date" totalsRowLabel="Total"/>
    <tableColumn id="2" xr3:uid="{65B55428-0434-4C91-9F22-316C034CFCB5}" name="Region"/>
    <tableColumn id="3" xr3:uid="{3C13FFEE-1B33-4901-9BB6-7520CCD50D79}" name="Product"/>
    <tableColumn id="4" xr3:uid="{76F821D3-F6B7-4D8B-9865-595462E2C842}" name="Revenue" totalsRowFunction="custom" totalsRowDxfId="1">
      <totalsRowFormula>SUM(D4:D100)</totalsRowFormula>
    </tableColumn>
    <tableColumn id="5" xr3:uid="{A597BD40-8F16-4A38-A6E3-419DA8783BB9}" name="Expenses" totalsRowFunction="sum" totalsRow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B6DA-43E8-4165-9FAC-0DD841C79B41}">
  <dimension ref="A1:A7"/>
  <sheetViews>
    <sheetView workbookViewId="0">
      <selection activeCell="D9" sqref="D9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62</v>
      </c>
    </row>
    <row r="7" spans="1:1" x14ac:dyDescent="0.25">
      <c r="A7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346E-3511-4643-95F8-7D2A1D3A6D87}">
  <dimension ref="A1:E109"/>
  <sheetViews>
    <sheetView tabSelected="1" workbookViewId="0">
      <selection activeCell="H6" sqref="H6"/>
    </sheetView>
  </sheetViews>
  <sheetFormatPr defaultRowHeight="15" x14ac:dyDescent="0.25"/>
  <cols>
    <col min="1" max="8" width="11.28515625" customWidth="1"/>
  </cols>
  <sheetData>
    <row r="1" spans="1:5" x14ac:dyDescent="0.25">
      <c r="A1" t="s">
        <v>60</v>
      </c>
    </row>
    <row r="3" spans="1:5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 t="s">
        <v>14</v>
      </c>
      <c r="B4" t="s">
        <v>8</v>
      </c>
      <c r="C4" t="s">
        <v>11</v>
      </c>
      <c r="D4" s="1">
        <v>12000</v>
      </c>
      <c r="E4" s="1">
        <v>5000</v>
      </c>
    </row>
    <row r="5" spans="1:5" x14ac:dyDescent="0.25">
      <c r="A5" t="s">
        <v>14</v>
      </c>
      <c r="B5" t="s">
        <v>9</v>
      </c>
      <c r="C5" t="s">
        <v>11</v>
      </c>
      <c r="D5" s="1">
        <v>12000</v>
      </c>
      <c r="E5" s="1">
        <v>2000</v>
      </c>
    </row>
    <row r="6" spans="1:5" x14ac:dyDescent="0.25">
      <c r="A6" t="s">
        <v>15</v>
      </c>
      <c r="B6" t="s">
        <v>8</v>
      </c>
      <c r="C6" t="s">
        <v>12</v>
      </c>
      <c r="D6" s="1">
        <v>20000</v>
      </c>
      <c r="E6" s="1">
        <v>60</v>
      </c>
    </row>
    <row r="7" spans="1:5" x14ac:dyDescent="0.25">
      <c r="A7" t="s">
        <v>16</v>
      </c>
      <c r="B7" t="s">
        <v>8</v>
      </c>
      <c r="C7" t="s">
        <v>11</v>
      </c>
      <c r="D7" s="1">
        <v>12000</v>
      </c>
      <c r="E7" s="1">
        <v>10000</v>
      </c>
    </row>
    <row r="8" spans="1:5" x14ac:dyDescent="0.25">
      <c r="A8" t="s">
        <v>16</v>
      </c>
      <c r="B8" t="s">
        <v>9</v>
      </c>
      <c r="C8" t="s">
        <v>12</v>
      </c>
      <c r="D8" s="1">
        <v>20000</v>
      </c>
      <c r="E8" s="1">
        <v>1500</v>
      </c>
    </row>
    <row r="9" spans="1:5" x14ac:dyDescent="0.25">
      <c r="A9" t="s">
        <v>16</v>
      </c>
      <c r="B9" t="s">
        <v>10</v>
      </c>
      <c r="C9" t="s">
        <v>12</v>
      </c>
      <c r="D9" s="1">
        <v>20000</v>
      </c>
      <c r="E9" s="1">
        <v>45</v>
      </c>
    </row>
    <row r="10" spans="1:5" x14ac:dyDescent="0.25">
      <c r="A10" t="s">
        <v>16</v>
      </c>
      <c r="B10" t="s">
        <v>8</v>
      </c>
      <c r="C10" t="s">
        <v>12</v>
      </c>
      <c r="D10" s="1">
        <v>20000</v>
      </c>
      <c r="E10" s="1">
        <v>0</v>
      </c>
    </row>
    <row r="11" spans="1:5" x14ac:dyDescent="0.25">
      <c r="A11" t="s">
        <v>17</v>
      </c>
      <c r="B11" t="s">
        <v>8</v>
      </c>
      <c r="C11" t="s">
        <v>12</v>
      </c>
      <c r="D11" s="1">
        <v>20000</v>
      </c>
      <c r="E11" s="1">
        <v>250</v>
      </c>
    </row>
    <row r="12" spans="1:5" x14ac:dyDescent="0.25">
      <c r="A12" t="s">
        <v>18</v>
      </c>
      <c r="B12" t="s">
        <v>9</v>
      </c>
      <c r="C12" t="s">
        <v>12</v>
      </c>
      <c r="D12" s="1">
        <v>20000</v>
      </c>
      <c r="E12" s="1">
        <v>25000</v>
      </c>
    </row>
    <row r="13" spans="1:5" x14ac:dyDescent="0.25">
      <c r="A13" t="s">
        <v>18</v>
      </c>
      <c r="B13" t="s">
        <v>10</v>
      </c>
      <c r="C13" t="s">
        <v>13</v>
      </c>
      <c r="D13" s="1">
        <v>15000</v>
      </c>
      <c r="E13" s="1">
        <v>2000</v>
      </c>
    </row>
    <row r="14" spans="1:5" x14ac:dyDescent="0.25">
      <c r="A14" t="s">
        <v>19</v>
      </c>
      <c r="B14" t="s">
        <v>8</v>
      </c>
      <c r="C14" t="s">
        <v>13</v>
      </c>
      <c r="D14" s="1">
        <v>15000</v>
      </c>
      <c r="E14" s="1">
        <v>375</v>
      </c>
    </row>
    <row r="15" spans="1:5" x14ac:dyDescent="0.25">
      <c r="A15" t="s">
        <v>20</v>
      </c>
      <c r="B15" t="s">
        <v>10</v>
      </c>
      <c r="C15" t="s">
        <v>11</v>
      </c>
      <c r="D15" s="1">
        <v>12000</v>
      </c>
      <c r="E15" s="1">
        <v>1100</v>
      </c>
    </row>
    <row r="16" spans="1:5" x14ac:dyDescent="0.25">
      <c r="A16" t="s">
        <v>21</v>
      </c>
      <c r="B16" t="s">
        <v>10</v>
      </c>
      <c r="C16" t="s">
        <v>13</v>
      </c>
      <c r="D16" s="1">
        <v>15000</v>
      </c>
      <c r="E16" s="1">
        <v>1100</v>
      </c>
    </row>
    <row r="17" spans="1:5" x14ac:dyDescent="0.25">
      <c r="A17" t="s">
        <v>21</v>
      </c>
      <c r="B17" t="s">
        <v>9</v>
      </c>
      <c r="C17" t="s">
        <v>12</v>
      </c>
      <c r="D17" s="1">
        <v>20000</v>
      </c>
      <c r="E17" s="1">
        <v>1100</v>
      </c>
    </row>
    <row r="18" spans="1:5" x14ac:dyDescent="0.25">
      <c r="A18" t="s">
        <v>21</v>
      </c>
      <c r="B18" t="s">
        <v>8</v>
      </c>
      <c r="C18" t="s">
        <v>13</v>
      </c>
      <c r="D18" s="1">
        <v>15000</v>
      </c>
      <c r="E18" s="1">
        <v>1100</v>
      </c>
    </row>
    <row r="19" spans="1:5" x14ac:dyDescent="0.25">
      <c r="A19" t="s">
        <v>21</v>
      </c>
      <c r="B19" t="s">
        <v>9</v>
      </c>
      <c r="C19" t="s">
        <v>13</v>
      </c>
      <c r="D19" s="1">
        <v>15000</v>
      </c>
      <c r="E19" s="1">
        <v>1100</v>
      </c>
    </row>
    <row r="20" spans="1:5" x14ac:dyDescent="0.25">
      <c r="A20" t="s">
        <v>22</v>
      </c>
      <c r="B20" t="s">
        <v>8</v>
      </c>
      <c r="C20" t="s">
        <v>13</v>
      </c>
      <c r="D20" s="1">
        <v>15000</v>
      </c>
      <c r="E20" s="1">
        <v>1100</v>
      </c>
    </row>
    <row r="21" spans="1:5" x14ac:dyDescent="0.25">
      <c r="A21" t="s">
        <v>23</v>
      </c>
      <c r="B21" t="s">
        <v>10</v>
      </c>
      <c r="C21" t="s">
        <v>13</v>
      </c>
      <c r="D21" s="1">
        <v>15000</v>
      </c>
      <c r="E21" s="1">
        <v>9000</v>
      </c>
    </row>
    <row r="22" spans="1:5" x14ac:dyDescent="0.25">
      <c r="A22" t="s">
        <v>24</v>
      </c>
      <c r="B22" t="s">
        <v>9</v>
      </c>
      <c r="C22" t="s">
        <v>13</v>
      </c>
      <c r="D22" s="1">
        <v>15000</v>
      </c>
      <c r="E22" s="1">
        <v>15000</v>
      </c>
    </row>
    <row r="23" spans="1:5" x14ac:dyDescent="0.25">
      <c r="A23" t="s">
        <v>25</v>
      </c>
      <c r="B23" t="s">
        <v>10</v>
      </c>
      <c r="C23" t="s">
        <v>13</v>
      </c>
      <c r="D23" s="1">
        <v>15000</v>
      </c>
      <c r="E23" s="1">
        <v>295</v>
      </c>
    </row>
    <row r="24" spans="1:5" x14ac:dyDescent="0.25">
      <c r="A24" t="s">
        <v>26</v>
      </c>
      <c r="B24" t="s">
        <v>9</v>
      </c>
      <c r="C24" t="s">
        <v>13</v>
      </c>
      <c r="D24" s="1">
        <v>15000</v>
      </c>
      <c r="E24" s="1">
        <v>700</v>
      </c>
    </row>
    <row r="25" spans="1:5" x14ac:dyDescent="0.25">
      <c r="A25" t="s">
        <v>27</v>
      </c>
      <c r="B25" t="s">
        <v>9</v>
      </c>
      <c r="C25" t="s">
        <v>11</v>
      </c>
      <c r="D25" s="1">
        <v>12000</v>
      </c>
      <c r="E25" s="1">
        <v>9900</v>
      </c>
    </row>
    <row r="26" spans="1:5" x14ac:dyDescent="0.25">
      <c r="A26" t="s">
        <v>28</v>
      </c>
      <c r="B26" t="s">
        <v>8</v>
      </c>
      <c r="C26" t="s">
        <v>12</v>
      </c>
      <c r="D26" s="1">
        <v>20000</v>
      </c>
      <c r="E26" s="1">
        <v>22000</v>
      </c>
    </row>
    <row r="27" spans="1:5" x14ac:dyDescent="0.25">
      <c r="A27" t="s">
        <v>28</v>
      </c>
      <c r="B27" t="s">
        <v>10</v>
      </c>
      <c r="C27" t="s">
        <v>12</v>
      </c>
      <c r="D27" s="1">
        <v>20000</v>
      </c>
      <c r="E27" s="1">
        <v>46</v>
      </c>
    </row>
    <row r="28" spans="1:5" x14ac:dyDescent="0.25">
      <c r="A28" t="s">
        <v>28</v>
      </c>
      <c r="B28" t="s">
        <v>10</v>
      </c>
      <c r="C28" t="s">
        <v>11</v>
      </c>
      <c r="D28" s="1">
        <v>12000</v>
      </c>
      <c r="E28" s="1">
        <v>0</v>
      </c>
    </row>
    <row r="29" spans="1:5" x14ac:dyDescent="0.25">
      <c r="A29" t="s">
        <v>28</v>
      </c>
      <c r="B29" t="s">
        <v>10</v>
      </c>
      <c r="C29" t="s">
        <v>13</v>
      </c>
      <c r="D29" s="1">
        <v>15000</v>
      </c>
      <c r="E29" s="1">
        <v>0</v>
      </c>
    </row>
    <row r="30" spans="1:5" x14ac:dyDescent="0.25">
      <c r="A30" t="s">
        <v>28</v>
      </c>
      <c r="B30" t="s">
        <v>10</v>
      </c>
      <c r="C30" t="s">
        <v>11</v>
      </c>
      <c r="D30" s="1">
        <v>12000</v>
      </c>
      <c r="E30" s="1">
        <v>0</v>
      </c>
    </row>
    <row r="31" spans="1:5" x14ac:dyDescent="0.25">
      <c r="A31" t="s">
        <v>28</v>
      </c>
      <c r="B31" t="s">
        <v>10</v>
      </c>
      <c r="C31" t="s">
        <v>12</v>
      </c>
      <c r="D31" s="1">
        <v>20000</v>
      </c>
      <c r="E31" s="1">
        <v>6530</v>
      </c>
    </row>
    <row r="32" spans="1:5" x14ac:dyDescent="0.25">
      <c r="A32" t="s">
        <v>28</v>
      </c>
      <c r="B32" t="s">
        <v>10</v>
      </c>
      <c r="C32" t="s">
        <v>13</v>
      </c>
      <c r="D32" s="1">
        <v>15000</v>
      </c>
      <c r="E32" s="1">
        <v>3206</v>
      </c>
    </row>
    <row r="33" spans="1:5" x14ac:dyDescent="0.25">
      <c r="A33" t="s">
        <v>28</v>
      </c>
      <c r="B33" t="s">
        <v>10</v>
      </c>
      <c r="C33" t="s">
        <v>11</v>
      </c>
      <c r="D33" s="1">
        <v>12000</v>
      </c>
      <c r="E33" s="1">
        <v>0</v>
      </c>
    </row>
    <row r="34" spans="1:5" x14ac:dyDescent="0.25">
      <c r="A34" t="s">
        <v>28</v>
      </c>
      <c r="B34" t="s">
        <v>10</v>
      </c>
      <c r="C34" t="s">
        <v>11</v>
      </c>
      <c r="D34" s="1">
        <v>12000</v>
      </c>
      <c r="E34" s="1">
        <v>63</v>
      </c>
    </row>
    <row r="35" spans="1:5" x14ac:dyDescent="0.25">
      <c r="A35" t="s">
        <v>28</v>
      </c>
      <c r="B35" t="s">
        <v>10</v>
      </c>
      <c r="C35" t="s">
        <v>12</v>
      </c>
      <c r="D35" s="1">
        <v>20000</v>
      </c>
      <c r="E35" s="1">
        <v>0</v>
      </c>
    </row>
    <row r="36" spans="1:5" x14ac:dyDescent="0.25">
      <c r="A36" t="s">
        <v>28</v>
      </c>
      <c r="B36" t="s">
        <v>10</v>
      </c>
      <c r="C36" t="s">
        <v>13</v>
      </c>
      <c r="D36" s="1">
        <v>15000</v>
      </c>
      <c r="E36" s="1">
        <v>250</v>
      </c>
    </row>
    <row r="37" spans="1:5" x14ac:dyDescent="0.25">
      <c r="A37" t="s">
        <v>28</v>
      </c>
      <c r="B37" t="s">
        <v>10</v>
      </c>
      <c r="C37" t="s">
        <v>12</v>
      </c>
      <c r="D37" s="1">
        <v>20000</v>
      </c>
      <c r="E37" s="1">
        <v>13000</v>
      </c>
    </row>
    <row r="38" spans="1:5" x14ac:dyDescent="0.25">
      <c r="A38" t="s">
        <v>28</v>
      </c>
      <c r="B38" t="s">
        <v>10</v>
      </c>
      <c r="C38" t="s">
        <v>13</v>
      </c>
      <c r="D38" s="1">
        <v>15000</v>
      </c>
      <c r="E38" s="1">
        <v>6540</v>
      </c>
    </row>
    <row r="39" spans="1:5" x14ac:dyDescent="0.25">
      <c r="A39" t="s">
        <v>28</v>
      </c>
      <c r="B39" t="s">
        <v>10</v>
      </c>
      <c r="C39" t="s">
        <v>11</v>
      </c>
      <c r="D39" s="1">
        <v>12000</v>
      </c>
      <c r="E39" s="1">
        <v>2000</v>
      </c>
    </row>
    <row r="40" spans="1:5" x14ac:dyDescent="0.25">
      <c r="A40" t="s">
        <v>28</v>
      </c>
      <c r="B40" t="s">
        <v>8</v>
      </c>
      <c r="C40" t="s">
        <v>11</v>
      </c>
      <c r="D40" s="1">
        <v>12000</v>
      </c>
      <c r="E40" s="1">
        <v>150</v>
      </c>
    </row>
    <row r="41" spans="1:5" x14ac:dyDescent="0.25">
      <c r="A41" t="s">
        <v>28</v>
      </c>
      <c r="B41" t="s">
        <v>8</v>
      </c>
      <c r="C41" t="s">
        <v>11</v>
      </c>
      <c r="D41" s="1">
        <v>12000</v>
      </c>
      <c r="E41" s="1">
        <v>5000</v>
      </c>
    </row>
    <row r="42" spans="1:5" x14ac:dyDescent="0.25">
      <c r="A42" t="s">
        <v>28</v>
      </c>
      <c r="B42" t="s">
        <v>9</v>
      </c>
      <c r="C42" t="s">
        <v>11</v>
      </c>
      <c r="D42" s="1">
        <v>12000</v>
      </c>
      <c r="E42" s="1">
        <v>11200</v>
      </c>
    </row>
    <row r="43" spans="1:5" x14ac:dyDescent="0.25">
      <c r="A43" t="s">
        <v>28</v>
      </c>
      <c r="B43" t="s">
        <v>8</v>
      </c>
      <c r="C43" t="s">
        <v>11</v>
      </c>
      <c r="D43" s="1">
        <v>12000</v>
      </c>
      <c r="E43" s="1">
        <v>200</v>
      </c>
    </row>
    <row r="44" spans="1:5" x14ac:dyDescent="0.25">
      <c r="A44" t="s">
        <v>30</v>
      </c>
      <c r="B44" t="s">
        <v>10</v>
      </c>
      <c r="C44" t="s">
        <v>11</v>
      </c>
      <c r="D44" s="1">
        <v>12000</v>
      </c>
      <c r="E44" s="1">
        <v>0</v>
      </c>
    </row>
    <row r="45" spans="1:5" x14ac:dyDescent="0.25">
      <c r="A45" t="s">
        <v>29</v>
      </c>
      <c r="B45" t="s">
        <v>9</v>
      </c>
      <c r="C45" t="s">
        <v>11</v>
      </c>
      <c r="D45" s="1">
        <v>12000</v>
      </c>
      <c r="E45" s="1">
        <v>90</v>
      </c>
    </row>
    <row r="46" spans="1:5" x14ac:dyDescent="0.25">
      <c r="A46" t="s">
        <v>31</v>
      </c>
      <c r="B46" t="s">
        <v>8</v>
      </c>
      <c r="C46" t="s">
        <v>11</v>
      </c>
      <c r="D46" s="1">
        <v>12000</v>
      </c>
      <c r="E46" s="1">
        <v>399</v>
      </c>
    </row>
    <row r="47" spans="1:5" x14ac:dyDescent="0.25">
      <c r="A47" t="s">
        <v>31</v>
      </c>
      <c r="B47" t="s">
        <v>8</v>
      </c>
      <c r="C47" t="s">
        <v>11</v>
      </c>
      <c r="D47" s="1">
        <v>12000</v>
      </c>
      <c r="E47" s="1">
        <v>12000</v>
      </c>
    </row>
    <row r="48" spans="1:5" x14ac:dyDescent="0.25">
      <c r="A48" t="s">
        <v>31</v>
      </c>
      <c r="B48" t="s">
        <v>8</v>
      </c>
      <c r="C48" t="s">
        <v>11</v>
      </c>
      <c r="D48" s="1">
        <v>12000</v>
      </c>
      <c r="E48" s="1">
        <v>55</v>
      </c>
    </row>
    <row r="49" spans="1:5" x14ac:dyDescent="0.25">
      <c r="A49" t="s">
        <v>31</v>
      </c>
      <c r="B49" t="s">
        <v>8</v>
      </c>
      <c r="C49" t="s">
        <v>12</v>
      </c>
      <c r="D49" s="1">
        <v>20000</v>
      </c>
      <c r="E49" s="1">
        <v>100</v>
      </c>
    </row>
    <row r="50" spans="1:5" x14ac:dyDescent="0.25">
      <c r="A50" t="s">
        <v>32</v>
      </c>
      <c r="B50" t="s">
        <v>8</v>
      </c>
      <c r="C50" t="s">
        <v>13</v>
      </c>
      <c r="D50" s="1">
        <v>15000</v>
      </c>
      <c r="E50" s="1">
        <v>17540</v>
      </c>
    </row>
    <row r="51" spans="1:5" x14ac:dyDescent="0.25">
      <c r="A51" t="s">
        <v>33</v>
      </c>
      <c r="B51" t="s">
        <v>8</v>
      </c>
      <c r="C51" t="s">
        <v>11</v>
      </c>
      <c r="D51" s="1">
        <v>12000</v>
      </c>
      <c r="E51" s="1">
        <v>200</v>
      </c>
    </row>
    <row r="52" spans="1:5" x14ac:dyDescent="0.25">
      <c r="A52" t="s">
        <v>34</v>
      </c>
      <c r="B52" t="s">
        <v>8</v>
      </c>
      <c r="C52" t="s">
        <v>13</v>
      </c>
      <c r="D52" s="1">
        <v>15000</v>
      </c>
      <c r="E52" s="1">
        <v>3700</v>
      </c>
    </row>
    <row r="53" spans="1:5" x14ac:dyDescent="0.25">
      <c r="A53" t="s">
        <v>35</v>
      </c>
      <c r="B53" t="s">
        <v>9</v>
      </c>
      <c r="C53" t="s">
        <v>12</v>
      </c>
      <c r="D53" s="1">
        <v>20000</v>
      </c>
      <c r="E53" s="1">
        <v>45000</v>
      </c>
    </row>
    <row r="54" spans="1:5" x14ac:dyDescent="0.25">
      <c r="A54" t="s">
        <v>35</v>
      </c>
      <c r="B54" t="s">
        <v>9</v>
      </c>
      <c r="C54" t="s">
        <v>12</v>
      </c>
      <c r="D54" s="1">
        <v>20000</v>
      </c>
      <c r="E54" s="1">
        <v>740</v>
      </c>
    </row>
    <row r="55" spans="1:5" x14ac:dyDescent="0.25">
      <c r="A55" t="s">
        <v>35</v>
      </c>
      <c r="B55" t="s">
        <v>9</v>
      </c>
      <c r="C55" t="s">
        <v>13</v>
      </c>
      <c r="D55" s="1">
        <v>15000</v>
      </c>
      <c r="E55" s="1">
        <v>0</v>
      </c>
    </row>
    <row r="56" spans="1:5" x14ac:dyDescent="0.25">
      <c r="A56" t="s">
        <v>35</v>
      </c>
      <c r="B56" t="s">
        <v>9</v>
      </c>
      <c r="C56" t="s">
        <v>11</v>
      </c>
      <c r="D56" s="1">
        <v>12000</v>
      </c>
      <c r="E56" s="1">
        <v>22050</v>
      </c>
    </row>
    <row r="57" spans="1:5" x14ac:dyDescent="0.25">
      <c r="A57" t="s">
        <v>36</v>
      </c>
      <c r="B57" t="s">
        <v>9</v>
      </c>
      <c r="C57" t="s">
        <v>13</v>
      </c>
      <c r="D57" s="1">
        <v>15000</v>
      </c>
      <c r="E57" s="1">
        <v>1401</v>
      </c>
    </row>
    <row r="58" spans="1:5" x14ac:dyDescent="0.25">
      <c r="A58" t="s">
        <v>36</v>
      </c>
      <c r="B58" t="s">
        <v>9</v>
      </c>
      <c r="C58" t="s">
        <v>13</v>
      </c>
      <c r="D58" s="1">
        <v>15000</v>
      </c>
      <c r="E58" s="1">
        <v>600</v>
      </c>
    </row>
    <row r="59" spans="1:5" x14ac:dyDescent="0.25">
      <c r="A59" t="s">
        <v>36</v>
      </c>
      <c r="B59" t="s">
        <v>9</v>
      </c>
      <c r="C59" t="s">
        <v>11</v>
      </c>
      <c r="D59" s="1">
        <v>12000</v>
      </c>
      <c r="E59" s="1">
        <v>1050</v>
      </c>
    </row>
    <row r="60" spans="1:5" x14ac:dyDescent="0.25">
      <c r="A60" t="s">
        <v>37</v>
      </c>
      <c r="B60" t="s">
        <v>9</v>
      </c>
      <c r="C60" t="s">
        <v>12</v>
      </c>
      <c r="D60" s="1">
        <v>20000</v>
      </c>
      <c r="E60" s="1">
        <v>100</v>
      </c>
    </row>
    <row r="61" spans="1:5" x14ac:dyDescent="0.25">
      <c r="A61" t="s">
        <v>38</v>
      </c>
      <c r="B61" t="s">
        <v>9</v>
      </c>
      <c r="C61" t="s">
        <v>11</v>
      </c>
      <c r="D61" s="1">
        <v>12000</v>
      </c>
      <c r="E61" s="1">
        <v>12500</v>
      </c>
    </row>
    <row r="62" spans="1:5" x14ac:dyDescent="0.25">
      <c r="A62" t="s">
        <v>38</v>
      </c>
      <c r="B62" t="s">
        <v>9</v>
      </c>
      <c r="C62" t="s">
        <v>12</v>
      </c>
      <c r="D62" s="1">
        <v>20000</v>
      </c>
      <c r="E62" s="1">
        <v>650</v>
      </c>
    </row>
    <row r="63" spans="1:5" x14ac:dyDescent="0.25">
      <c r="A63" t="s">
        <v>38</v>
      </c>
      <c r="B63" t="s">
        <v>9</v>
      </c>
      <c r="C63" t="s">
        <v>12</v>
      </c>
      <c r="D63" s="1">
        <v>20000</v>
      </c>
      <c r="E63" s="1">
        <v>60</v>
      </c>
    </row>
    <row r="64" spans="1:5" x14ac:dyDescent="0.25">
      <c r="A64" t="s">
        <v>38</v>
      </c>
      <c r="B64" t="s">
        <v>9</v>
      </c>
      <c r="C64" t="s">
        <v>13</v>
      </c>
      <c r="D64" s="1">
        <v>15000</v>
      </c>
      <c r="E64" s="1">
        <v>10000</v>
      </c>
    </row>
    <row r="65" spans="1:5" x14ac:dyDescent="0.25">
      <c r="A65" t="s">
        <v>38</v>
      </c>
      <c r="B65" t="s">
        <v>9</v>
      </c>
      <c r="C65" t="s">
        <v>11</v>
      </c>
      <c r="D65" s="1">
        <v>12000</v>
      </c>
      <c r="E65" s="1">
        <v>1234</v>
      </c>
    </row>
    <row r="66" spans="1:5" x14ac:dyDescent="0.25">
      <c r="A66" t="s">
        <v>38</v>
      </c>
      <c r="B66" t="s">
        <v>9</v>
      </c>
      <c r="C66" t="s">
        <v>13</v>
      </c>
      <c r="D66" s="1">
        <v>15000</v>
      </c>
      <c r="E66" s="1">
        <v>400</v>
      </c>
    </row>
    <row r="67" spans="1:5" x14ac:dyDescent="0.25">
      <c r="A67" t="s">
        <v>38</v>
      </c>
      <c r="B67" t="s">
        <v>9</v>
      </c>
      <c r="C67" t="s">
        <v>12</v>
      </c>
      <c r="D67" s="1">
        <v>20000</v>
      </c>
      <c r="E67" s="1">
        <v>73</v>
      </c>
    </row>
    <row r="68" spans="1:5" x14ac:dyDescent="0.25">
      <c r="A68" t="s">
        <v>39</v>
      </c>
      <c r="B68" t="s">
        <v>9</v>
      </c>
      <c r="C68" t="s">
        <v>12</v>
      </c>
      <c r="D68" s="1">
        <v>20000</v>
      </c>
      <c r="E68" s="1">
        <v>31000</v>
      </c>
    </row>
    <row r="69" spans="1:5" x14ac:dyDescent="0.25">
      <c r="A69" t="s">
        <v>39</v>
      </c>
      <c r="B69" t="s">
        <v>9</v>
      </c>
      <c r="C69" t="s">
        <v>12</v>
      </c>
      <c r="D69" s="1">
        <v>20000</v>
      </c>
      <c r="E69">
        <v>4300</v>
      </c>
    </row>
    <row r="70" spans="1:5" x14ac:dyDescent="0.25">
      <c r="A70" t="s">
        <v>39</v>
      </c>
      <c r="B70" t="s">
        <v>8</v>
      </c>
      <c r="C70" t="s">
        <v>12</v>
      </c>
      <c r="D70" s="1">
        <v>20000</v>
      </c>
      <c r="E70">
        <v>67</v>
      </c>
    </row>
    <row r="71" spans="1:5" x14ac:dyDescent="0.25">
      <c r="A71" t="s">
        <v>39</v>
      </c>
      <c r="B71" t="s">
        <v>10</v>
      </c>
      <c r="C71" t="s">
        <v>12</v>
      </c>
      <c r="D71" s="1">
        <v>20000</v>
      </c>
      <c r="E71" s="1">
        <v>960</v>
      </c>
    </row>
    <row r="72" spans="1:5" x14ac:dyDescent="0.25">
      <c r="A72" t="s">
        <v>39</v>
      </c>
      <c r="B72" t="s">
        <v>9</v>
      </c>
      <c r="C72" t="s">
        <v>12</v>
      </c>
      <c r="D72" s="1">
        <v>20000</v>
      </c>
      <c r="E72" s="1">
        <v>5600</v>
      </c>
    </row>
    <row r="73" spans="1:5" x14ac:dyDescent="0.25">
      <c r="A73" t="s">
        <v>39</v>
      </c>
      <c r="B73" t="s">
        <v>10</v>
      </c>
      <c r="C73" t="s">
        <v>12</v>
      </c>
      <c r="D73" s="1">
        <v>20000</v>
      </c>
      <c r="E73" s="1">
        <v>429</v>
      </c>
    </row>
    <row r="74" spans="1:5" x14ac:dyDescent="0.25">
      <c r="A74" t="s">
        <v>39</v>
      </c>
      <c r="B74" t="s">
        <v>8</v>
      </c>
      <c r="C74" t="s">
        <v>12</v>
      </c>
      <c r="D74" s="1">
        <v>20000</v>
      </c>
      <c r="E74" s="1">
        <v>5100</v>
      </c>
    </row>
    <row r="75" spans="1:5" x14ac:dyDescent="0.25">
      <c r="A75" t="s">
        <v>39</v>
      </c>
      <c r="B75" t="s">
        <v>8</v>
      </c>
      <c r="C75" t="s">
        <v>12</v>
      </c>
      <c r="D75" s="1">
        <v>20000</v>
      </c>
      <c r="E75" s="1">
        <v>35000</v>
      </c>
    </row>
    <row r="76" spans="1:5" x14ac:dyDescent="0.25">
      <c r="A76" t="s">
        <v>39</v>
      </c>
      <c r="B76" t="s">
        <v>8</v>
      </c>
      <c r="C76" t="s">
        <v>13</v>
      </c>
      <c r="D76" s="1">
        <v>15000</v>
      </c>
      <c r="E76" s="1">
        <v>90</v>
      </c>
    </row>
    <row r="77" spans="1:5" x14ac:dyDescent="0.25">
      <c r="A77" t="s">
        <v>39</v>
      </c>
      <c r="B77" t="s">
        <v>8</v>
      </c>
      <c r="C77" t="s">
        <v>11</v>
      </c>
      <c r="D77" s="1">
        <v>12000</v>
      </c>
      <c r="E77" s="1">
        <v>6450</v>
      </c>
    </row>
    <row r="78" spans="1:5" x14ac:dyDescent="0.25">
      <c r="A78" t="s">
        <v>39</v>
      </c>
      <c r="B78" t="s">
        <v>10</v>
      </c>
      <c r="C78" t="s">
        <v>11</v>
      </c>
      <c r="D78" s="1">
        <v>12000</v>
      </c>
      <c r="E78" s="1">
        <v>10000</v>
      </c>
    </row>
    <row r="79" spans="1:5" x14ac:dyDescent="0.25">
      <c r="A79" t="s">
        <v>39</v>
      </c>
      <c r="B79" t="s">
        <v>9</v>
      </c>
      <c r="C79" t="s">
        <v>11</v>
      </c>
      <c r="D79" s="1">
        <v>12000</v>
      </c>
      <c r="E79" s="1">
        <v>370</v>
      </c>
    </row>
    <row r="80" spans="1:5" x14ac:dyDescent="0.25">
      <c r="A80" t="s">
        <v>39</v>
      </c>
      <c r="B80" t="s">
        <v>10</v>
      </c>
      <c r="C80" t="s">
        <v>11</v>
      </c>
      <c r="D80" s="1">
        <v>12000</v>
      </c>
      <c r="E80" s="1">
        <v>7435</v>
      </c>
    </row>
    <row r="81" spans="1:5" x14ac:dyDescent="0.25">
      <c r="A81" t="s">
        <v>39</v>
      </c>
      <c r="B81" t="s">
        <v>10</v>
      </c>
      <c r="C81" t="s">
        <v>11</v>
      </c>
      <c r="D81" s="1">
        <v>12000</v>
      </c>
      <c r="E81" s="1">
        <v>509</v>
      </c>
    </row>
    <row r="82" spans="1:5" x14ac:dyDescent="0.25">
      <c r="A82" t="s">
        <v>39</v>
      </c>
      <c r="B82" t="s">
        <v>10</v>
      </c>
      <c r="C82" t="s">
        <v>11</v>
      </c>
      <c r="D82" s="1">
        <v>12000</v>
      </c>
      <c r="E82" s="1">
        <v>6900</v>
      </c>
    </row>
    <row r="83" spans="1:5" x14ac:dyDescent="0.25">
      <c r="A83" t="s">
        <v>39</v>
      </c>
      <c r="B83" t="s">
        <v>10</v>
      </c>
      <c r="C83" t="s">
        <v>12</v>
      </c>
      <c r="D83" s="1">
        <v>20000</v>
      </c>
      <c r="E83" s="1">
        <v>8200</v>
      </c>
    </row>
    <row r="84" spans="1:5" x14ac:dyDescent="0.25">
      <c r="A84" t="s">
        <v>39</v>
      </c>
      <c r="B84" t="s">
        <v>10</v>
      </c>
      <c r="C84" t="s">
        <v>13</v>
      </c>
      <c r="D84" s="1">
        <v>15000</v>
      </c>
      <c r="E84" s="1">
        <v>408</v>
      </c>
    </row>
    <row r="85" spans="1:5" x14ac:dyDescent="0.25">
      <c r="A85" t="s">
        <v>39</v>
      </c>
      <c r="B85" t="s">
        <v>10</v>
      </c>
      <c r="C85" t="s">
        <v>13</v>
      </c>
      <c r="D85" s="1">
        <v>15000</v>
      </c>
      <c r="E85" s="1">
        <v>2450</v>
      </c>
    </row>
    <row r="86" spans="1:5" x14ac:dyDescent="0.25">
      <c r="A86" t="s">
        <v>39</v>
      </c>
      <c r="B86" t="s">
        <v>10</v>
      </c>
      <c r="C86" t="s">
        <v>12</v>
      </c>
      <c r="D86" s="1">
        <v>20000</v>
      </c>
      <c r="E86" s="1">
        <v>5600</v>
      </c>
    </row>
    <row r="87" spans="1:5" x14ac:dyDescent="0.25">
      <c r="A87" t="s">
        <v>39</v>
      </c>
      <c r="B87" t="s">
        <v>9</v>
      </c>
      <c r="C87" t="s">
        <v>12</v>
      </c>
      <c r="D87" s="1">
        <v>20000</v>
      </c>
      <c r="E87" s="1">
        <v>430</v>
      </c>
    </row>
    <row r="88" spans="1:5" x14ac:dyDescent="0.25">
      <c r="A88" t="s">
        <v>40</v>
      </c>
      <c r="B88" t="s">
        <v>8</v>
      </c>
      <c r="C88" t="s">
        <v>11</v>
      </c>
      <c r="D88" s="1">
        <v>12000</v>
      </c>
      <c r="E88" s="1">
        <v>9876</v>
      </c>
    </row>
    <row r="89" spans="1:5" x14ac:dyDescent="0.25">
      <c r="A89" t="s">
        <v>40</v>
      </c>
      <c r="B89" t="s">
        <v>9</v>
      </c>
      <c r="C89" t="s">
        <v>12</v>
      </c>
      <c r="D89" s="1">
        <v>20000</v>
      </c>
      <c r="E89" s="1">
        <v>548</v>
      </c>
    </row>
    <row r="90" spans="1:5" x14ac:dyDescent="0.25">
      <c r="A90" t="s">
        <v>41</v>
      </c>
      <c r="B90" t="s">
        <v>8</v>
      </c>
      <c r="C90" t="s">
        <v>13</v>
      </c>
      <c r="D90" s="1">
        <v>15000</v>
      </c>
      <c r="E90" s="1">
        <v>2900</v>
      </c>
    </row>
    <row r="91" spans="1:5" x14ac:dyDescent="0.25">
      <c r="A91" t="s">
        <v>42</v>
      </c>
      <c r="B91" t="s">
        <v>8</v>
      </c>
      <c r="C91" t="s">
        <v>13</v>
      </c>
      <c r="D91" s="1">
        <v>15000</v>
      </c>
      <c r="E91" s="1">
        <v>33908</v>
      </c>
    </row>
    <row r="92" spans="1:5" x14ac:dyDescent="0.25">
      <c r="A92" t="s">
        <v>42</v>
      </c>
      <c r="B92" t="s">
        <v>8</v>
      </c>
      <c r="C92" t="s">
        <v>11</v>
      </c>
      <c r="D92" s="1">
        <v>12000</v>
      </c>
      <c r="E92" s="1">
        <v>58</v>
      </c>
    </row>
    <row r="93" spans="1:5" x14ac:dyDescent="0.25">
      <c r="A93" t="s">
        <v>43</v>
      </c>
      <c r="B93" t="s">
        <v>8</v>
      </c>
      <c r="C93" t="s">
        <v>12</v>
      </c>
      <c r="D93" s="1">
        <v>20000</v>
      </c>
      <c r="E93" s="1">
        <v>765</v>
      </c>
    </row>
    <row r="94" spans="1:5" x14ac:dyDescent="0.25">
      <c r="A94" t="s">
        <v>44</v>
      </c>
      <c r="B94" t="s">
        <v>9</v>
      </c>
      <c r="C94" t="s">
        <v>13</v>
      </c>
      <c r="D94" s="1">
        <v>15000</v>
      </c>
      <c r="E94" s="1">
        <v>1090</v>
      </c>
    </row>
    <row r="95" spans="1:5" x14ac:dyDescent="0.25">
      <c r="A95" t="s">
        <v>44</v>
      </c>
      <c r="B95" t="s">
        <v>9</v>
      </c>
      <c r="C95" t="s">
        <v>12</v>
      </c>
      <c r="D95" s="1">
        <v>20000</v>
      </c>
      <c r="E95" s="1">
        <v>17643</v>
      </c>
    </row>
    <row r="96" spans="1:5" x14ac:dyDescent="0.25">
      <c r="A96" t="s">
        <v>44</v>
      </c>
      <c r="B96" t="s">
        <v>9</v>
      </c>
      <c r="C96" t="s">
        <v>12</v>
      </c>
      <c r="D96" s="1">
        <v>20000</v>
      </c>
      <c r="E96" s="1">
        <v>48098</v>
      </c>
    </row>
    <row r="97" spans="1:5" x14ac:dyDescent="0.25">
      <c r="A97" t="s">
        <v>44</v>
      </c>
      <c r="B97" t="s">
        <v>9</v>
      </c>
      <c r="C97" t="s">
        <v>11</v>
      </c>
      <c r="D97" s="1">
        <v>12000</v>
      </c>
      <c r="E97" s="1">
        <v>3040</v>
      </c>
    </row>
    <row r="98" spans="1:5" x14ac:dyDescent="0.25">
      <c r="A98" t="s">
        <v>44</v>
      </c>
      <c r="B98" t="s">
        <v>9</v>
      </c>
      <c r="C98" t="s">
        <v>12</v>
      </c>
      <c r="D98" s="1">
        <v>20000</v>
      </c>
      <c r="E98" s="1">
        <v>6540</v>
      </c>
    </row>
    <row r="99" spans="1:5" x14ac:dyDescent="0.25">
      <c r="A99" t="s">
        <v>44</v>
      </c>
      <c r="B99" t="s">
        <v>10</v>
      </c>
      <c r="C99" t="s">
        <v>13</v>
      </c>
      <c r="D99" s="1">
        <v>15000</v>
      </c>
      <c r="E99" s="1">
        <v>14670</v>
      </c>
    </row>
    <row r="100" spans="1:5" x14ac:dyDescent="0.25">
      <c r="A100" t="s">
        <v>44</v>
      </c>
      <c r="B100" t="s">
        <v>8</v>
      </c>
      <c r="C100" t="s">
        <v>13</v>
      </c>
      <c r="D100" s="1">
        <v>15000</v>
      </c>
      <c r="E100" s="1">
        <v>711</v>
      </c>
    </row>
    <row r="101" spans="1:5" x14ac:dyDescent="0.25">
      <c r="A101" t="s">
        <v>46</v>
      </c>
      <c r="D101" s="1">
        <f>SUM(D4:D100)</f>
        <v>1531000</v>
      </c>
      <c r="E101" s="1">
        <f>SUBTOTAL(109,Table1[Expenses])</f>
        <v>558997</v>
      </c>
    </row>
    <row r="104" spans="1:5" x14ac:dyDescent="0.25">
      <c r="C104" t="s">
        <v>45</v>
      </c>
      <c r="D104" s="1">
        <f>Table1[[#Totals],[Revenue]]-Table1[[#Totals],[Expenses]]</f>
        <v>972003</v>
      </c>
    </row>
    <row r="105" spans="1:5" x14ac:dyDescent="0.25">
      <c r="C105" t="s">
        <v>47</v>
      </c>
      <c r="D105">
        <f>D104/Table1[[#Totals],[Revenue]]</f>
        <v>0.63488112344872627</v>
      </c>
    </row>
    <row r="106" spans="1:5" x14ac:dyDescent="0.25">
      <c r="C106" t="s">
        <v>48</v>
      </c>
      <c r="D106">
        <f>AVERAGE(D105)</f>
        <v>0.63488112344872627</v>
      </c>
    </row>
    <row r="109" spans="1:5" x14ac:dyDescent="0.25">
      <c r="A109" t="s">
        <v>49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D7A1-7D1B-43AB-B78D-B7003333E886}">
  <dimension ref="A1:I12"/>
  <sheetViews>
    <sheetView workbookViewId="0">
      <selection activeCell="H18" sqref="H18"/>
    </sheetView>
  </sheetViews>
  <sheetFormatPr defaultRowHeight="15" x14ac:dyDescent="0.25"/>
  <cols>
    <col min="2" max="2" width="13.140625" bestFit="1" customWidth="1"/>
    <col min="3" max="3" width="15.7109375" bestFit="1" customWidth="1"/>
    <col min="8" max="8" width="13.140625" bestFit="1" customWidth="1"/>
    <col min="9" max="9" width="15.7109375" bestFit="1" customWidth="1"/>
  </cols>
  <sheetData>
    <row r="1" spans="1:9" x14ac:dyDescent="0.25">
      <c r="B1" t="s">
        <v>49</v>
      </c>
    </row>
    <row r="2" spans="1:9" x14ac:dyDescent="0.25">
      <c r="B2" s="2" t="s">
        <v>50</v>
      </c>
      <c r="C2" t="s">
        <v>52</v>
      </c>
      <c r="H2" t="s">
        <v>53</v>
      </c>
    </row>
    <row r="3" spans="1:9" x14ac:dyDescent="0.25">
      <c r="B3" s="3" t="s">
        <v>10</v>
      </c>
      <c r="C3" s="1">
        <v>477000</v>
      </c>
      <c r="H3" s="2" t="s">
        <v>50</v>
      </c>
      <c r="I3" t="s">
        <v>52</v>
      </c>
    </row>
    <row r="4" spans="1:9" x14ac:dyDescent="0.25">
      <c r="B4" s="3" t="s">
        <v>8</v>
      </c>
      <c r="C4" s="1">
        <v>459000</v>
      </c>
      <c r="H4" s="3" t="s">
        <v>12</v>
      </c>
      <c r="I4" s="1">
        <v>700000</v>
      </c>
    </row>
    <row r="5" spans="1:9" x14ac:dyDescent="0.25">
      <c r="B5" s="3" t="s">
        <v>9</v>
      </c>
      <c r="C5" s="1">
        <v>595000</v>
      </c>
      <c r="H5" s="3" t="s">
        <v>11</v>
      </c>
      <c r="I5" s="1">
        <v>396000</v>
      </c>
    </row>
    <row r="6" spans="1:9" x14ac:dyDescent="0.25">
      <c r="B6" s="3" t="s">
        <v>51</v>
      </c>
      <c r="C6" s="1">
        <v>1531000</v>
      </c>
      <c r="H6" s="3" t="s">
        <v>13</v>
      </c>
      <c r="I6" s="1">
        <v>435000</v>
      </c>
    </row>
    <row r="7" spans="1:9" x14ac:dyDescent="0.25">
      <c r="H7" s="3" t="s">
        <v>51</v>
      </c>
      <c r="I7" s="1">
        <v>1531000</v>
      </c>
    </row>
    <row r="8" spans="1:9" x14ac:dyDescent="0.25">
      <c r="A8" t="s">
        <v>54</v>
      </c>
      <c r="H8" s="3" t="s">
        <v>54</v>
      </c>
    </row>
    <row r="9" spans="1:9" x14ac:dyDescent="0.25">
      <c r="A9" t="s">
        <v>55</v>
      </c>
      <c r="H9" s="3" t="s">
        <v>57</v>
      </c>
    </row>
    <row r="10" spans="1:9" x14ac:dyDescent="0.25">
      <c r="A10" t="s">
        <v>9</v>
      </c>
      <c r="H10" s="3" t="s">
        <v>12</v>
      </c>
    </row>
    <row r="11" spans="1:9" x14ac:dyDescent="0.25">
      <c r="A11" t="s">
        <v>56</v>
      </c>
      <c r="H11" s="3" t="s">
        <v>58</v>
      </c>
    </row>
    <row r="12" spans="1:9" x14ac:dyDescent="0.25">
      <c r="A12" t="s">
        <v>8</v>
      </c>
      <c r="H12" s="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94F8-DD54-42BF-B66E-E2EE52848F45}">
  <dimension ref="B1:J37"/>
  <sheetViews>
    <sheetView topLeftCell="A59" workbookViewId="0">
      <selection activeCell="O38" sqref="O38"/>
    </sheetView>
  </sheetViews>
  <sheetFormatPr defaultRowHeight="15" x14ac:dyDescent="0.25"/>
  <sheetData>
    <row r="1" spans="2:10" x14ac:dyDescent="0.25">
      <c r="B1" t="s">
        <v>66</v>
      </c>
      <c r="J1" t="s">
        <v>67</v>
      </c>
    </row>
    <row r="19" spans="2:10" x14ac:dyDescent="0.25">
      <c r="B19" t="s">
        <v>65</v>
      </c>
      <c r="J19" t="s">
        <v>68</v>
      </c>
    </row>
    <row r="37" spans="2:10" x14ac:dyDescent="0.25">
      <c r="B37" t="s">
        <v>64</v>
      </c>
      <c r="J37" t="s">
        <v>63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09380EA91E2A4EA14B89B7323CFE36" ma:contentTypeVersion="4" ma:contentTypeDescription="Create a new document." ma:contentTypeScope="" ma:versionID="0c1ce30fcc3a3b362ba9f74644ee3210">
  <xsd:schema xmlns:xsd="http://www.w3.org/2001/XMLSchema" xmlns:xs="http://www.w3.org/2001/XMLSchema" xmlns:p="http://schemas.microsoft.com/office/2006/metadata/properties" xmlns:ns3="a3698944-5a72-4842-b9a2-95b89ad450fa" targetNamespace="http://schemas.microsoft.com/office/2006/metadata/properties" ma:root="true" ma:fieldsID="52562451d67e08c603eb15445382ec46" ns3:_="">
    <xsd:import namespace="a3698944-5a72-4842-b9a2-95b89ad450f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98944-5a72-4842-b9a2-95b89ad450f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473C4F-24D2-4BDB-B454-182529226094}">
  <ds:schemaRefs>
    <ds:schemaRef ds:uri="a3698944-5a72-4842-b9a2-95b89ad450fa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FDE9880-D3BA-4DD8-B6D0-8988A9C50F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CE2C93-E214-436D-8151-833DBA02FF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98944-5a72-4842-b9a2-95b89ad450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a9a8b8c-3ea3-4799-a43e-5510398e7a3b}" enabled="0" method="" siteId="{ca9a8b8c-3ea3-4799-a43e-5510398e7a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Scenerio</vt:lpstr>
      <vt:lpstr>Raw Data</vt:lpstr>
      <vt:lpstr>Pivot 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MABUYA</dc:creator>
  <cp:lastModifiedBy>N MABUYA</cp:lastModifiedBy>
  <dcterms:created xsi:type="dcterms:W3CDTF">2026-06-06T13:25:52Z</dcterms:created>
  <dcterms:modified xsi:type="dcterms:W3CDTF">2026-06-25T01:24:22Z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0x010100B909380EA91E2A4EA14B89B7323CFE36</vt:lpwstr>
  </property>
</Properties>
</file>